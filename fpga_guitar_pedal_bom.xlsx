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Summer 26 FPGA Project\"/>
    </mc:Choice>
  </mc:AlternateContent>
  <xr:revisionPtr revIDLastSave="0" documentId="13_ncr:1_{80E740ED-B699-48BE-9056-ED895C301AE6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Budget" sheetId="1" state="hidden" r:id="rId1"/>
    <sheet name="Value" sheetId="2" r:id="rId2"/>
    <sheet name="HighQuality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F18" i="3"/>
  <c r="F17" i="1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G20" i="2"/>
  <c r="G18" i="2"/>
  <c r="G13" i="2"/>
  <c r="G11" i="2"/>
  <c r="G10" i="2"/>
  <c r="G8" i="2"/>
  <c r="G7" i="2"/>
  <c r="G6" i="2"/>
  <c r="G24" i="2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G22" i="2" l="1"/>
</calcChain>
</file>

<file path=xl/sharedStrings.xml><?xml version="1.0" encoding="utf-8"?>
<sst xmlns="http://schemas.openxmlformats.org/spreadsheetml/2006/main" count="192" uniqueCount="108">
  <si>
    <t>Category</t>
  </si>
  <si>
    <t>Item</t>
  </si>
  <si>
    <t>Description</t>
  </si>
  <si>
    <t>Qty</t>
  </si>
  <si>
    <t>Unit Price (CAD)</t>
  </si>
  <si>
    <t>Ext Cost (CAD)</t>
  </si>
  <si>
    <t>Notes / Reason</t>
  </si>
  <si>
    <t>Core SoC FPGA platform</t>
  </si>
  <si>
    <t>Digilent Arty Z7-10</t>
  </si>
  <si>
    <t>Zynq-7000 SoC dev board (XC7Z010), 512MB DDR3, dual Pmod, Arduino header</t>
  </si>
  <si>
    <t>Lowest-cost Zynq-7000 board readily available in Canada with multiple Pmods for ADC/DAC and sufficient FPGA resources for audio FX.</t>
  </si>
  <si>
    <t>Audio front-end</t>
  </si>
  <si>
    <t>Digilent Pmod AD1</t>
  </si>
  <si>
    <t>2-ch 12-bit 1 MSPS ADC module for audio input</t>
  </si>
  <si>
    <t>Simple SPI ADC Pmod with enough bandwidth for 44.1–48 kHz mono/stereo audio and existing reference designs.</t>
  </si>
  <si>
    <t>Digilent Pmod DA3</t>
  </si>
  <si>
    <t>16-bit DAC Pmod for audio output (price converted from USD)</t>
  </si>
  <si>
    <t>Higher resolution DAC for cleaner output; SPI-compatible and designed to plug directly into Pmod header.</t>
  </si>
  <si>
    <t>User interface &amp; control</t>
  </si>
  <si>
    <t>0.96" 128x64 I2C OLED</t>
  </si>
  <si>
    <t>SSD1306-based I2C OLED display module</t>
  </si>
  <si>
    <t>Low-cost but very readable status/UI display driven from Zynq PS via I2C.</t>
  </si>
  <si>
    <t>EC11 rotary encoder module</t>
  </si>
  <si>
    <t>Rotary encoder with push button and knob</t>
  </si>
  <si>
    <t>Single control for navigating menus, adjusting parameters, and pushing to select FX.</t>
  </si>
  <si>
    <t>3PDT latching footswitch</t>
  </si>
  <si>
    <t>3PDT true-bypass style footswitch (price converted from USD)</t>
  </si>
  <si>
    <t>Standard stomp switch form factor so it feels like a normal pedal and supports hard bypass if desired.</t>
  </si>
  <si>
    <t>I/O &amp; connectivity</t>
  </si>
  <si>
    <t>Neutrik NYS2202 mono jacks</t>
  </si>
  <si>
    <t>Panel-mount 1/4" mono jacks for in/out</t>
  </si>
  <si>
    <t>Basic but robust jacks; two units cover input and output on a mono pedal.</t>
  </si>
  <si>
    <t>Power &amp; regulation</t>
  </si>
  <si>
    <t>9V 500mA pedal PSU</t>
  </si>
  <si>
    <t>Center-negative 9V DC adapter for guitar pedals</t>
  </si>
  <si>
    <t>Standard 9V pedal supply so the pedal can live on a normal board.</t>
  </si>
  <si>
    <t>Mini DC-DC buck converter</t>
  </si>
  <si>
    <t>4.5–16 V to 5 V buck converter module (2A)</t>
  </si>
  <si>
    <t>Steps 9V pedal supply down to 5 V rail suitable for Arty Z7 and Pmods when not powering via USB.</t>
  </si>
  <si>
    <t>Enclosure &amp; mechanical</t>
  </si>
  <si>
    <t>Hammond 1590B enclosure</t>
  </si>
  <si>
    <t>Standard die-cast aluminum stompbox enclosure</t>
  </si>
  <si>
    <t>Common pedal size; aluminum is easy to machine for jacks, switches, and mounting the FPGA board.</t>
  </si>
  <si>
    <t>Assorted hardware</t>
  </si>
  <si>
    <t>Standoffs, screws, rubber feet, hookup wire, strain reliefs (estimated)</t>
  </si>
  <si>
    <t>Generic hardware to mount the board and jacks and keep cables tidy; sourced from assorted kits/local stores.</t>
  </si>
  <si>
    <t>Development tools &amp; licenses</t>
  </si>
  <si>
    <t>Vivado WebPACK + PetaLinux</t>
  </si>
  <si>
    <t>Xilinx/AMD toolchain for Zynq (WebPACK edition, device-limited)</t>
  </si>
  <si>
    <t>Free WebPACK license is sufficient for Arty Z7-10, plus PetaLinux for the Zynq PS/Linux UI stack.</t>
  </si>
  <si>
    <t>Assembly tools &amp; consumables</t>
  </si>
  <si>
    <t>Basic soldering iron &amp; tools kit</t>
  </si>
  <si>
    <t>Beginner soldering kit with 120V iron, stand, cutters, pliers, etc.</t>
  </si>
  <si>
    <t>Cheapest way to get all the basic tools needed to wire jacks, switches, and headers if you have nothing yet.</t>
  </si>
  <si>
    <t>Basic digital multimeter</t>
  </si>
  <si>
    <t>Compact manual-ranging DMM for continuity and voltage checks</t>
  </si>
  <si>
    <t>Low-cost meter is enough to debug power rails and check jack wiring.</t>
  </si>
  <si>
    <t>Digilent Arty Z7-20</t>
  </si>
  <si>
    <t>Zynq-7000 SoC dev board (XC7Z020), 512MB DDR3, extra FPGA resources</t>
  </si>
  <si>
    <t>Larger Zynq-7020 device gives more headroom for parallel FX blocks and higher oversampling while keeping same board footprint.</t>
  </si>
  <si>
    <t>Same ADC as budget build keeps firmware/HDL identical; still good enough for many guitar FX.</t>
  </si>
  <si>
    <t>Keeps high-resolution output path; you can experiment with dither/oversampling on the larger FPGA.</t>
  </si>
  <si>
    <t>Primary UI control for navigating presets and tweaking parameters.</t>
  </si>
  <si>
    <t>Two switches support bypass plus one extra for tap tempo or preset advance.</t>
  </si>
  <si>
    <t>Reliable jacks with long threaded bushing, suitable for thicker enclosures.</t>
  </si>
  <si>
    <t>Extra mono jack (expression/FX loop)</t>
  </si>
  <si>
    <t>Additional 1/4" mono jack for expression pedal or send/return</t>
  </si>
  <si>
    <t>Gives flexibility for control-voltage input or external loop integration.</t>
  </si>
  <si>
    <t>Shared with budget tier; one decent adapter is enough.</t>
  </si>
  <si>
    <t>Same converter; total system current still within 2 A headroom.</t>
  </si>
  <si>
    <t>Budget for nicer mechanicals so the pedal feels solid and survives gigging.</t>
  </si>
  <si>
    <t>Same free toolchain; Arty Z7-20 is still covered by WebPACK and PetaLinux.</t>
  </si>
  <si>
    <t>Same higher-end Zynq-7020 platform as value tier; enough logic for complex multi-block FX chains and oversampling.</t>
  </si>
  <si>
    <t>You could swap to an audio-specific codec later; keeping AD1 initially minimises bring-up risk.</t>
  </si>
  <si>
    <t>High-resolution DAC combined with careful PCB layout and shielding in this tier for cleaner noise floor.</t>
  </si>
  <si>
    <t>Same UI concept; high-quality tier focuses more on enclosure and feel than on changing the display.</t>
  </si>
  <si>
    <t>Rotary encoder with push button and knurled aluminum knob</t>
  </si>
  <si>
    <t>Budget for a nicer encoder/knob combo so the main control feels more like commercial pedals.</t>
  </si>
  <si>
    <t>3PDT latching footswitch (premium)</t>
  </si>
  <si>
    <t>Higher-quality 3PDT stomp switch (price converted from USD)</t>
  </si>
  <si>
    <t>Upgrades to a more robust switch spec for better feel and lifetime.</t>
  </si>
  <si>
    <t>Neutrik locking 1/4" jack</t>
  </si>
  <si>
    <t>Professional locking 1/4" cable jack for input</t>
  </si>
  <si>
    <t>Locking jack on input to avoid accidental unplugging on stage.</t>
  </si>
  <si>
    <t>Neutrik NYS2202 mono jack</t>
  </si>
  <si>
    <t>Standard 1/4" mono jack for output</t>
  </si>
  <si>
    <t>Regular output jack keeps cost reasonable while still using quality hardware.</t>
  </si>
  <si>
    <t>Center-negative 9V DC adapter for guitar pedals (higher-quality brand)</t>
  </si>
  <si>
    <t>Budget for a brand-name adapter with better noise performance for sensitive audio work.</t>
  </si>
  <si>
    <t>Still adequate as a pre-regulator, but you might design a custom low-noise supply later.</t>
  </si>
  <si>
    <t>Hammond 1590XX enclosure</t>
  </si>
  <si>
    <t>Mid-large die-cast enclosure with extra space</t>
  </si>
  <si>
    <t>Larger footprint gives space for better jack spacing, shielding, and comfortable footswitch placement.</t>
  </si>
  <si>
    <t>Premium hardware &amp; cosmetics</t>
  </si>
  <si>
    <t>Powder coat, laser etching, high-quality knobs, panel hardware (estimated)</t>
  </si>
  <si>
    <t>Budget for making the box look and feel like a boutique pedal, not just a prototype.</t>
  </si>
  <si>
    <t>Tooling cost stays zero even for the high-end build, which is a big win for experimentation.</t>
  </si>
  <si>
    <t>Hakko FX-888D soldering station</t>
  </si>
  <si>
    <t>65 W digital temperature-controlled soldering station</t>
  </si>
  <si>
    <t>Reliable station with better temperature stability and tip life; worthwhile if you do repeated pedal builds.</t>
  </si>
  <si>
    <t>Still sufficient; you can always upgrade to a Fluke later if you want.</t>
  </si>
  <si>
    <t>TOTAL</t>
  </si>
  <si>
    <t>CORE</t>
  </si>
  <si>
    <t>USER</t>
  </si>
  <si>
    <t>IO</t>
  </si>
  <si>
    <t>POWA</t>
  </si>
  <si>
    <t>USB Logic Analyzer, 24MHz ish</t>
  </si>
  <si>
    <t>Knobs, dress nuts, standoffs, cable glands (estimated)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</si>
</sst>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textRotation="45"/>
    </xf>
    <xf numFmtId="0" fontId="0" fillId="0" borderId="0" xfId="0" applyAlignment="1">
      <alignment horizontal="center" vertical="center" textRotation="4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dgetBOM" displayName="BudgetBOM" ref="A1:G15">
  <autoFilter ref="A1:G15" xr:uid="{00000000-0009-0000-0100-000001000000}"/>
  <tableColumns count="7">
    <tableColumn id="1" xr3:uid="{00000000-0010-0000-0000-000001000000}" name="Category"/>
    <tableColumn id="2" xr3:uid="{00000000-0010-0000-0000-000002000000}" name="Item"/>
    <tableColumn id="3" xr3:uid="{00000000-0010-0000-0000-000003000000}" name="Description"/>
    <tableColumn id="4" xr3:uid="{00000000-0010-0000-0000-000004000000}" name="Qty"/>
    <tableColumn id="5" xr3:uid="{00000000-0010-0000-0000-000005000000}" name="Unit Price (CAD)"/>
    <tableColumn id="6" xr3:uid="{00000000-0010-0000-0000-000006000000}" name="Ext Cost (CAD)"/>
    <tableColumn id="7" xr3:uid="{00000000-0010-0000-0000-000007000000}" name="Notes / Reas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alueBOM" displayName="ValueBOM" ref="B1:H20">
  <autoFilter ref="B1:H20" xr:uid="{00000000-0009-0000-0100-000002000000}"/>
  <tableColumns count="7">
    <tableColumn id="1" xr3:uid="{00000000-0010-0000-0100-000001000000}" name="Category"/>
    <tableColumn id="2" xr3:uid="{00000000-0010-0000-0100-000002000000}" name="Item"/>
    <tableColumn id="3" xr3:uid="{00000000-0010-0000-0100-000003000000}" name="Description"/>
    <tableColumn id="4" xr3:uid="{00000000-0010-0000-0100-000004000000}" name="Qty"/>
    <tableColumn id="5" xr3:uid="{00000000-0010-0000-0100-000005000000}" name="Unit Price (CAD)"/>
    <tableColumn id="6" xr3:uid="{00000000-0010-0000-0100-000006000000}" name="Ext Cost (CAD)"/>
    <tableColumn id="7" xr3:uid="{00000000-0010-0000-0100-000007000000}" name="Notes / Reas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ighQualityBOM" displayName="HighQualityBOM" ref="A1:G16">
  <autoFilter ref="A1:G16" xr:uid="{00000000-0009-0000-0100-000003000000}"/>
  <tableColumns count="7">
    <tableColumn id="1" xr3:uid="{00000000-0010-0000-0200-000001000000}" name="Category"/>
    <tableColumn id="2" xr3:uid="{00000000-0010-0000-0200-000002000000}" name="Item"/>
    <tableColumn id="3" xr3:uid="{00000000-0010-0000-0200-000003000000}" name="Description"/>
    <tableColumn id="4" xr3:uid="{00000000-0010-0000-0200-000004000000}" name="Qty"/>
    <tableColumn id="5" xr3:uid="{00000000-0010-0000-0200-000005000000}" name="Unit Price (CAD)"/>
    <tableColumn id="6" xr3:uid="{00000000-0010-0000-0200-000006000000}" name="Ext Cost (CAD)"/>
    <tableColumn id="7" xr3:uid="{00000000-0010-0000-0200-000007000000}" name="Notes / Rea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activeCell="C2" sqref="C2"/>
    </sheetView>
  </sheetViews>
  <sheetFormatPr defaultRowHeight="15" x14ac:dyDescent="0.25"/>
  <cols>
    <col min="1" max="1" width="30" customWidth="1"/>
    <col min="2" max="2" width="34" customWidth="1"/>
    <col min="3" max="3" width="40" customWidth="1"/>
    <col min="4" max="4" width="12" customWidth="1"/>
    <col min="5" max="5" width="18" customWidth="1"/>
    <col min="6" max="6" width="16" customWidth="1"/>
    <col min="7" max="7" width="119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</v>
      </c>
      <c r="E2">
        <v>374.44</v>
      </c>
      <c r="F2">
        <f t="shared" ref="F2:F15" si="0">D2*E2</f>
        <v>374.44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1</v>
      </c>
      <c r="E3">
        <v>43.19</v>
      </c>
      <c r="F3">
        <f t="shared" si="0"/>
        <v>43.19</v>
      </c>
      <c r="G3" t="s">
        <v>14</v>
      </c>
    </row>
    <row r="4" spans="1:7" x14ac:dyDescent="0.25">
      <c r="A4" t="s">
        <v>11</v>
      </c>
      <c r="B4" t="s">
        <v>15</v>
      </c>
      <c r="C4" t="s">
        <v>16</v>
      </c>
      <c r="D4">
        <v>1</v>
      </c>
      <c r="E4">
        <v>41.09</v>
      </c>
      <c r="F4">
        <f t="shared" si="0"/>
        <v>41.09</v>
      </c>
      <c r="G4" t="s">
        <v>17</v>
      </c>
    </row>
    <row r="5" spans="1:7" x14ac:dyDescent="0.25">
      <c r="A5" t="s">
        <v>18</v>
      </c>
      <c r="B5" t="s">
        <v>19</v>
      </c>
      <c r="C5" t="s">
        <v>20</v>
      </c>
      <c r="D5">
        <v>1</v>
      </c>
      <c r="E5">
        <v>5.25</v>
      </c>
      <c r="F5">
        <f t="shared" si="0"/>
        <v>5.25</v>
      </c>
      <c r="G5" t="s">
        <v>21</v>
      </c>
    </row>
    <row r="6" spans="1:7" x14ac:dyDescent="0.25">
      <c r="A6" t="s">
        <v>18</v>
      </c>
      <c r="B6" t="s">
        <v>22</v>
      </c>
      <c r="C6" t="s">
        <v>23</v>
      </c>
      <c r="D6">
        <v>1</v>
      </c>
      <c r="E6">
        <v>2.77</v>
      </c>
      <c r="F6">
        <f t="shared" si="0"/>
        <v>2.77</v>
      </c>
      <c r="G6" t="s">
        <v>24</v>
      </c>
    </row>
    <row r="7" spans="1:7" x14ac:dyDescent="0.25">
      <c r="A7" t="s">
        <v>18</v>
      </c>
      <c r="B7" t="s">
        <v>25</v>
      </c>
      <c r="C7" t="s">
        <v>26</v>
      </c>
      <c r="D7">
        <v>1</v>
      </c>
      <c r="E7">
        <v>4.59</v>
      </c>
      <c r="F7">
        <f t="shared" si="0"/>
        <v>4.59</v>
      </c>
      <c r="G7" t="s">
        <v>27</v>
      </c>
    </row>
    <row r="8" spans="1:7" x14ac:dyDescent="0.25">
      <c r="A8" t="s">
        <v>28</v>
      </c>
      <c r="B8" t="s">
        <v>29</v>
      </c>
      <c r="C8" t="s">
        <v>30</v>
      </c>
      <c r="D8">
        <v>2</v>
      </c>
      <c r="E8">
        <v>3.3</v>
      </c>
      <c r="F8">
        <f t="shared" si="0"/>
        <v>6.6</v>
      </c>
      <c r="G8" t="s">
        <v>31</v>
      </c>
    </row>
    <row r="9" spans="1:7" x14ac:dyDescent="0.25">
      <c r="A9" t="s">
        <v>32</v>
      </c>
      <c r="B9" t="s">
        <v>33</v>
      </c>
      <c r="C9" t="s">
        <v>34</v>
      </c>
      <c r="D9">
        <v>1</v>
      </c>
      <c r="E9">
        <v>25.99</v>
      </c>
      <c r="F9">
        <f t="shared" si="0"/>
        <v>25.99</v>
      </c>
      <c r="G9" t="s">
        <v>35</v>
      </c>
    </row>
    <row r="10" spans="1:7" x14ac:dyDescent="0.25">
      <c r="A10" t="s">
        <v>32</v>
      </c>
      <c r="B10" t="s">
        <v>36</v>
      </c>
      <c r="C10" t="s">
        <v>37</v>
      </c>
      <c r="D10">
        <v>1</v>
      </c>
      <c r="E10">
        <v>2.99</v>
      </c>
      <c r="F10">
        <f t="shared" si="0"/>
        <v>2.99</v>
      </c>
      <c r="G10" t="s">
        <v>38</v>
      </c>
    </row>
    <row r="11" spans="1:7" x14ac:dyDescent="0.25">
      <c r="A11" t="s">
        <v>39</v>
      </c>
      <c r="B11" t="s">
        <v>40</v>
      </c>
      <c r="C11" t="s">
        <v>41</v>
      </c>
      <c r="D11">
        <v>1</v>
      </c>
      <c r="E11">
        <v>15.41</v>
      </c>
      <c r="F11">
        <f t="shared" si="0"/>
        <v>15.41</v>
      </c>
      <c r="G11" t="s">
        <v>42</v>
      </c>
    </row>
    <row r="12" spans="1:7" x14ac:dyDescent="0.25">
      <c r="A12" t="s">
        <v>39</v>
      </c>
      <c r="B12" t="s">
        <v>43</v>
      </c>
      <c r="C12" t="s">
        <v>44</v>
      </c>
      <c r="D12">
        <v>1</v>
      </c>
      <c r="E12">
        <v>20</v>
      </c>
      <c r="F12">
        <f t="shared" si="0"/>
        <v>20</v>
      </c>
      <c r="G12" t="s">
        <v>45</v>
      </c>
    </row>
    <row r="13" spans="1:7" x14ac:dyDescent="0.25">
      <c r="A13" t="s">
        <v>46</v>
      </c>
      <c r="B13" t="s">
        <v>47</v>
      </c>
      <c r="C13" t="s">
        <v>48</v>
      </c>
      <c r="D13">
        <v>1</v>
      </c>
      <c r="E13">
        <v>0</v>
      </c>
      <c r="F13">
        <f t="shared" si="0"/>
        <v>0</v>
      </c>
      <c r="G13" t="s">
        <v>49</v>
      </c>
    </row>
    <row r="14" spans="1:7" x14ac:dyDescent="0.25">
      <c r="A14" t="s">
        <v>50</v>
      </c>
      <c r="B14" t="s">
        <v>51</v>
      </c>
      <c r="C14" t="s">
        <v>52</v>
      </c>
      <c r="D14">
        <v>1</v>
      </c>
      <c r="E14">
        <v>34.950000000000003</v>
      </c>
      <c r="F14">
        <f t="shared" si="0"/>
        <v>34.950000000000003</v>
      </c>
      <c r="G14" t="s">
        <v>53</v>
      </c>
    </row>
    <row r="15" spans="1:7" x14ac:dyDescent="0.25">
      <c r="A15" t="s">
        <v>50</v>
      </c>
      <c r="B15" t="s">
        <v>54</v>
      </c>
      <c r="C15" t="s">
        <v>55</v>
      </c>
      <c r="D15">
        <v>1</v>
      </c>
      <c r="E15">
        <v>25.87</v>
      </c>
      <c r="F15">
        <f t="shared" si="0"/>
        <v>25.87</v>
      </c>
      <c r="G15" t="s">
        <v>56</v>
      </c>
    </row>
    <row r="17" spans="5:6" x14ac:dyDescent="0.25">
      <c r="E17" t="s">
        <v>101</v>
      </c>
      <c r="F17">
        <f>SUM(BudgetBOM[Ext Cost (CAD)])</f>
        <v>603.1400000000001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tabSelected="1" workbookViewId="0">
      <selection activeCell="I8" sqref="I8"/>
    </sheetView>
  </sheetViews>
  <sheetFormatPr defaultRowHeight="15" x14ac:dyDescent="0.25"/>
  <cols>
    <col min="2" max="2" width="30" customWidth="1"/>
    <col min="3" max="3" width="38" customWidth="1"/>
    <col min="4" max="4" width="49.7109375" customWidth="1"/>
    <col min="5" max="5" width="12" customWidth="1"/>
    <col min="6" max="6" width="18" customWidth="1"/>
    <col min="7" max="7" width="16" customWidth="1"/>
    <col min="8" max="8" width="117.4257812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2" t="s">
        <v>102</v>
      </c>
      <c r="B2" t="s">
        <v>7</v>
      </c>
      <c r="C2" t="s">
        <v>57</v>
      </c>
      <c r="D2" t="s">
        <v>58</v>
      </c>
      <c r="E2">
        <v>1</v>
      </c>
      <c r="F2">
        <v>397.6</v>
      </c>
      <c r="G2">
        <v>397.6</v>
      </c>
      <c r="H2" t="s">
        <v>59</v>
      </c>
    </row>
    <row r="3" spans="1:8" x14ac:dyDescent="0.25">
      <c r="A3" s="2"/>
      <c r="B3" t="s">
        <v>11</v>
      </c>
      <c r="C3" t="s">
        <v>12</v>
      </c>
      <c r="D3" t="s">
        <v>13</v>
      </c>
      <c r="E3">
        <v>1</v>
      </c>
      <c r="F3">
        <v>39.76</v>
      </c>
      <c r="G3">
        <v>39.76</v>
      </c>
      <c r="H3" t="s">
        <v>60</v>
      </c>
    </row>
    <row r="4" spans="1:8" x14ac:dyDescent="0.25">
      <c r="A4" s="2"/>
      <c r="B4" t="s">
        <v>11</v>
      </c>
      <c r="C4" t="s">
        <v>15</v>
      </c>
      <c r="D4" t="s">
        <v>16</v>
      </c>
      <c r="E4">
        <v>1</v>
      </c>
      <c r="F4">
        <v>39.76</v>
      </c>
      <c r="G4">
        <v>39.76</v>
      </c>
      <c r="H4" t="s">
        <v>61</v>
      </c>
    </row>
    <row r="6" spans="1:8" x14ac:dyDescent="0.25">
      <c r="A6" s="2" t="s">
        <v>103</v>
      </c>
      <c r="B6" t="s">
        <v>18</v>
      </c>
      <c r="G6">
        <f t="shared" ref="G6:G20" si="0">E6*F6</f>
        <v>0</v>
      </c>
    </row>
    <row r="7" spans="1:8" x14ac:dyDescent="0.25">
      <c r="A7" s="2"/>
      <c r="B7" t="s">
        <v>18</v>
      </c>
      <c r="C7" t="s">
        <v>22</v>
      </c>
      <c r="D7" t="s">
        <v>23</v>
      </c>
      <c r="E7">
        <v>0</v>
      </c>
      <c r="F7">
        <v>5</v>
      </c>
      <c r="G7">
        <f t="shared" si="0"/>
        <v>0</v>
      </c>
      <c r="H7" t="s">
        <v>62</v>
      </c>
    </row>
    <row r="8" spans="1:8" x14ac:dyDescent="0.25">
      <c r="A8" s="2"/>
      <c r="B8" t="s">
        <v>18</v>
      </c>
      <c r="C8" t="s">
        <v>25</v>
      </c>
      <c r="D8" t="s">
        <v>26</v>
      </c>
      <c r="E8">
        <v>0</v>
      </c>
      <c r="F8">
        <v>4</v>
      </c>
      <c r="G8">
        <f t="shared" si="0"/>
        <v>0</v>
      </c>
      <c r="H8" t="s">
        <v>63</v>
      </c>
    </row>
    <row r="9" spans="1:8" x14ac:dyDescent="0.25">
      <c r="A9" s="1"/>
    </row>
    <row r="10" spans="1:8" x14ac:dyDescent="0.25">
      <c r="A10" s="2" t="s">
        <v>104</v>
      </c>
      <c r="B10" t="s">
        <v>28</v>
      </c>
      <c r="C10" t="s">
        <v>29</v>
      </c>
      <c r="D10" t="s">
        <v>30</v>
      </c>
      <c r="E10">
        <v>2</v>
      </c>
      <c r="F10">
        <v>3</v>
      </c>
      <c r="G10">
        <f t="shared" si="0"/>
        <v>6</v>
      </c>
      <c r="H10" t="s">
        <v>64</v>
      </c>
    </row>
    <row r="11" spans="1:8" x14ac:dyDescent="0.25">
      <c r="A11" s="2"/>
      <c r="B11" t="s">
        <v>28</v>
      </c>
      <c r="C11" t="s">
        <v>65</v>
      </c>
      <c r="D11" t="s">
        <v>66</v>
      </c>
      <c r="E11">
        <v>1</v>
      </c>
      <c r="F11">
        <v>3.3</v>
      </c>
      <c r="G11">
        <f t="shared" si="0"/>
        <v>3.3</v>
      </c>
      <c r="H11" t="s">
        <v>67</v>
      </c>
    </row>
    <row r="12" spans="1:8" x14ac:dyDescent="0.25">
      <c r="A12" s="1"/>
    </row>
    <row r="13" spans="1:8" x14ac:dyDescent="0.25">
      <c r="A13" s="2" t="s">
        <v>105</v>
      </c>
      <c r="B13" t="s">
        <v>32</v>
      </c>
      <c r="C13" t="s">
        <v>33</v>
      </c>
      <c r="D13" t="s">
        <v>34</v>
      </c>
      <c r="E13">
        <v>1</v>
      </c>
      <c r="F13">
        <v>25</v>
      </c>
      <c r="G13">
        <f t="shared" si="0"/>
        <v>25</v>
      </c>
      <c r="H13" t="s">
        <v>68</v>
      </c>
    </row>
    <row r="14" spans="1:8" x14ac:dyDescent="0.25">
      <c r="A14" s="2"/>
      <c r="B14" t="s">
        <v>32</v>
      </c>
      <c r="C14" t="s">
        <v>36</v>
      </c>
      <c r="D14" t="s">
        <v>37</v>
      </c>
      <c r="E14">
        <v>0</v>
      </c>
      <c r="F14">
        <v>3</v>
      </c>
      <c r="G14">
        <f>E14*F14</f>
        <v>0</v>
      </c>
      <c r="H14" t="s">
        <v>69</v>
      </c>
    </row>
    <row r="15" spans="1:8" x14ac:dyDescent="0.25">
      <c r="A15" s="1"/>
    </row>
    <row r="16" spans="1:8" x14ac:dyDescent="0.25">
      <c r="B16" t="s">
        <v>39</v>
      </c>
      <c r="C16" t="s">
        <v>43</v>
      </c>
      <c r="D16" t="s">
        <v>107</v>
      </c>
      <c r="E16">
        <v>1</v>
      </c>
      <c r="F16">
        <v>30</v>
      </c>
      <c r="G16">
        <v>30</v>
      </c>
      <c r="H16" t="s">
        <v>70</v>
      </c>
    </row>
    <row r="18" spans="2:8" x14ac:dyDescent="0.25">
      <c r="B18" t="s">
        <v>46</v>
      </c>
      <c r="C18" t="s">
        <v>47</v>
      </c>
      <c r="D18" t="s">
        <v>48</v>
      </c>
      <c r="E18">
        <v>1</v>
      </c>
      <c r="F18">
        <v>0</v>
      </c>
      <c r="G18">
        <f t="shared" si="0"/>
        <v>0</v>
      </c>
      <c r="H18" t="s">
        <v>71</v>
      </c>
    </row>
    <row r="20" spans="2:8" x14ac:dyDescent="0.25">
      <c r="B20" t="s">
        <v>50</v>
      </c>
      <c r="C20" t="s">
        <v>106</v>
      </c>
      <c r="E20">
        <v>1</v>
      </c>
      <c r="F20">
        <v>30</v>
      </c>
      <c r="G20">
        <f t="shared" si="0"/>
        <v>30</v>
      </c>
    </row>
    <row r="22" spans="2:8" x14ac:dyDescent="0.25">
      <c r="F22" t="s">
        <v>101</v>
      </c>
      <c r="G22">
        <f>SUM(ValueBOM[Ext Cost (CAD)])</f>
        <v>571.42000000000007</v>
      </c>
    </row>
    <row r="24" spans="2:8" x14ac:dyDescent="0.25">
      <c r="F24" t="s">
        <v>102</v>
      </c>
      <c r="G24">
        <f>SUM(G2:G4)</f>
        <v>477.12</v>
      </c>
    </row>
  </sheetData>
  <mergeCells count="4">
    <mergeCell ref="A2:A4"/>
    <mergeCell ref="A6:A8"/>
    <mergeCell ref="A10:A11"/>
    <mergeCell ref="A13:A14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topLeftCell="B1" workbookViewId="0">
      <selection activeCell="C2" sqref="C2"/>
    </sheetView>
  </sheetViews>
  <sheetFormatPr defaultRowHeight="15" x14ac:dyDescent="0.25"/>
  <cols>
    <col min="1" max="1" width="30" customWidth="1"/>
    <col min="2" max="2" width="36" customWidth="1"/>
    <col min="3" max="3" width="40" customWidth="1"/>
    <col min="4" max="4" width="12" customWidth="1"/>
    <col min="5" max="5" width="18" customWidth="1"/>
    <col min="6" max="6" width="16" customWidth="1"/>
    <col min="7" max="7" width="104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57</v>
      </c>
      <c r="C2" t="s">
        <v>58</v>
      </c>
      <c r="D2">
        <v>1</v>
      </c>
      <c r="E2">
        <v>436.46</v>
      </c>
      <c r="F2">
        <f t="shared" ref="F2:F16" si="0">D2*E2</f>
        <v>436.46</v>
      </c>
      <c r="G2" t="s">
        <v>72</v>
      </c>
    </row>
    <row r="3" spans="1:7" x14ac:dyDescent="0.25">
      <c r="A3" t="s">
        <v>11</v>
      </c>
      <c r="B3" t="s">
        <v>12</v>
      </c>
      <c r="C3" t="s">
        <v>13</v>
      </c>
      <c r="D3">
        <v>1</v>
      </c>
      <c r="E3">
        <v>43.19</v>
      </c>
      <c r="F3">
        <f t="shared" si="0"/>
        <v>43.19</v>
      </c>
      <c r="G3" t="s">
        <v>73</v>
      </c>
    </row>
    <row r="4" spans="1:7" x14ac:dyDescent="0.25">
      <c r="A4" t="s">
        <v>11</v>
      </c>
      <c r="B4" t="s">
        <v>15</v>
      </c>
      <c r="C4" t="s">
        <v>16</v>
      </c>
      <c r="D4">
        <v>1</v>
      </c>
      <c r="E4">
        <v>41.09</v>
      </c>
      <c r="F4">
        <f t="shared" si="0"/>
        <v>41.09</v>
      </c>
      <c r="G4" t="s">
        <v>74</v>
      </c>
    </row>
    <row r="5" spans="1:7" x14ac:dyDescent="0.25">
      <c r="A5" t="s">
        <v>18</v>
      </c>
      <c r="B5" t="s">
        <v>19</v>
      </c>
      <c r="C5" t="s">
        <v>20</v>
      </c>
      <c r="D5">
        <v>1</v>
      </c>
      <c r="E5">
        <v>5.25</v>
      </c>
      <c r="F5">
        <f t="shared" si="0"/>
        <v>5.25</v>
      </c>
      <c r="G5" t="s">
        <v>75</v>
      </c>
    </row>
    <row r="6" spans="1:7" x14ac:dyDescent="0.25">
      <c r="A6" t="s">
        <v>18</v>
      </c>
      <c r="B6" t="s">
        <v>22</v>
      </c>
      <c r="C6" t="s">
        <v>76</v>
      </c>
      <c r="D6">
        <v>1</v>
      </c>
      <c r="E6">
        <v>6</v>
      </c>
      <c r="F6">
        <f t="shared" si="0"/>
        <v>6</v>
      </c>
      <c r="G6" t="s">
        <v>77</v>
      </c>
    </row>
    <row r="7" spans="1:7" x14ac:dyDescent="0.25">
      <c r="A7" t="s">
        <v>18</v>
      </c>
      <c r="B7" t="s">
        <v>78</v>
      </c>
      <c r="C7" t="s">
        <v>79</v>
      </c>
      <c r="D7">
        <v>2</v>
      </c>
      <c r="E7">
        <v>6.01</v>
      </c>
      <c r="F7">
        <f t="shared" si="0"/>
        <v>12.02</v>
      </c>
      <c r="G7" t="s">
        <v>80</v>
      </c>
    </row>
    <row r="8" spans="1:7" x14ac:dyDescent="0.25">
      <c r="A8" t="s">
        <v>28</v>
      </c>
      <c r="B8" t="s">
        <v>81</v>
      </c>
      <c r="C8" t="s">
        <v>82</v>
      </c>
      <c r="D8">
        <v>1</v>
      </c>
      <c r="E8">
        <v>13.28</v>
      </c>
      <c r="F8">
        <f t="shared" si="0"/>
        <v>13.28</v>
      </c>
      <c r="G8" t="s">
        <v>83</v>
      </c>
    </row>
    <row r="9" spans="1:7" x14ac:dyDescent="0.25">
      <c r="A9" t="s">
        <v>28</v>
      </c>
      <c r="B9" t="s">
        <v>84</v>
      </c>
      <c r="C9" t="s">
        <v>85</v>
      </c>
      <c r="D9">
        <v>1</v>
      </c>
      <c r="E9">
        <v>3.3</v>
      </c>
      <c r="F9">
        <f t="shared" si="0"/>
        <v>3.3</v>
      </c>
      <c r="G9" t="s">
        <v>86</v>
      </c>
    </row>
    <row r="10" spans="1:7" x14ac:dyDescent="0.25">
      <c r="A10" t="s">
        <v>32</v>
      </c>
      <c r="B10" t="s">
        <v>33</v>
      </c>
      <c r="C10" t="s">
        <v>87</v>
      </c>
      <c r="D10">
        <v>1</v>
      </c>
      <c r="E10">
        <v>35</v>
      </c>
      <c r="F10">
        <f t="shared" si="0"/>
        <v>35</v>
      </c>
      <c r="G10" t="s">
        <v>88</v>
      </c>
    </row>
    <row r="11" spans="1:7" x14ac:dyDescent="0.25">
      <c r="A11" t="s">
        <v>32</v>
      </c>
      <c r="B11" t="s">
        <v>36</v>
      </c>
      <c r="C11" t="s">
        <v>37</v>
      </c>
      <c r="D11">
        <v>1</v>
      </c>
      <c r="E11">
        <v>2.99</v>
      </c>
      <c r="F11">
        <f t="shared" si="0"/>
        <v>2.99</v>
      </c>
      <c r="G11" t="s">
        <v>89</v>
      </c>
    </row>
    <row r="12" spans="1:7" x14ac:dyDescent="0.25">
      <c r="A12" t="s">
        <v>39</v>
      </c>
      <c r="B12" t="s">
        <v>90</v>
      </c>
      <c r="C12" t="s">
        <v>91</v>
      </c>
      <c r="D12">
        <v>1</v>
      </c>
      <c r="E12">
        <v>18.989999999999998</v>
      </c>
      <c r="F12">
        <f t="shared" si="0"/>
        <v>18.989999999999998</v>
      </c>
      <c r="G12" t="s">
        <v>92</v>
      </c>
    </row>
    <row r="13" spans="1:7" x14ac:dyDescent="0.25">
      <c r="A13" t="s">
        <v>39</v>
      </c>
      <c r="B13" t="s">
        <v>93</v>
      </c>
      <c r="C13" t="s">
        <v>94</v>
      </c>
      <c r="D13">
        <v>1</v>
      </c>
      <c r="E13">
        <v>60</v>
      </c>
      <c r="F13">
        <f t="shared" si="0"/>
        <v>60</v>
      </c>
      <c r="G13" t="s">
        <v>95</v>
      </c>
    </row>
    <row r="14" spans="1:7" x14ac:dyDescent="0.25">
      <c r="A14" t="s">
        <v>46</v>
      </c>
      <c r="B14" t="s">
        <v>47</v>
      </c>
      <c r="C14" t="s">
        <v>48</v>
      </c>
      <c r="D14">
        <v>1</v>
      </c>
      <c r="E14">
        <v>0</v>
      </c>
      <c r="F14">
        <f t="shared" si="0"/>
        <v>0</v>
      </c>
      <c r="G14" t="s">
        <v>96</v>
      </c>
    </row>
    <row r="15" spans="1:7" x14ac:dyDescent="0.25">
      <c r="A15" t="s">
        <v>50</v>
      </c>
      <c r="B15" t="s">
        <v>97</v>
      </c>
      <c r="C15" t="s">
        <v>98</v>
      </c>
      <c r="D15">
        <v>1</v>
      </c>
      <c r="E15">
        <v>189.9</v>
      </c>
      <c r="F15">
        <f t="shared" si="0"/>
        <v>189.9</v>
      </c>
      <c r="G15" t="s">
        <v>99</v>
      </c>
    </row>
    <row r="16" spans="1:7" x14ac:dyDescent="0.25">
      <c r="A16" t="s">
        <v>50</v>
      </c>
      <c r="B16" t="s">
        <v>54</v>
      </c>
      <c r="C16" t="s">
        <v>55</v>
      </c>
      <c r="D16">
        <v>1</v>
      </c>
      <c r="E16">
        <v>25.87</v>
      </c>
      <c r="F16">
        <f t="shared" si="0"/>
        <v>25.87</v>
      </c>
      <c r="G16" t="s">
        <v>100</v>
      </c>
    </row>
    <row r="18" spans="5:6" x14ac:dyDescent="0.25">
      <c r="E18" t="s">
        <v>101</v>
      </c>
      <c r="F18">
        <f>SUM(HighQualityBOM[Ext Cost (CAD)])</f>
        <v>893.33999999999992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Value</vt:lpstr>
      <vt:lpstr>HighQuality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Ehnes</cp:lastModifiedBy>
  <dcterms:created xsi:type="dcterms:W3CDTF">2026-04-23T23:40:28Z</dcterms:created>
  <dcterms:modified xsi:type="dcterms:W3CDTF">2026-05-16T05:12:40Z</dcterms:modified>
</cp:coreProperties>
</file>